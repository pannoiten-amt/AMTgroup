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ดัชนีกระดาษทำการ" sheetId="1" state="visible" r:id="rId3"/>
    <sheet name="2.Materiality Calculato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<sst xmlns="http://schemas.openxmlformats.org/spreadsheetml/2006/main" count="47" uniqueCount="42">
  <si>
    <t xml:space="preserve">AMT GROUP — ดัชนีกระดาษทำการ (Working Paper Index)</t>
  </si>
  <si>
    <t xml:space="preserve">จัดทำตาม TSA for LCE ส่วนที่ 2 (เอกสารหลักฐานของงานตรวจสอบ) — ระบุ ชื่อรายการ/ผู้ปฏิบัติงาน/ผู้สอบทาน ตามที่มาตรฐานกำหนด</t>
  </si>
  <si>
    <t xml:space="preserve">Ref.</t>
  </si>
  <si>
    <t xml:space="preserve">รายการ/บัญชีที่ทดสอบ</t>
  </si>
  <si>
    <t xml:space="preserve">วัตถุประสงค์การตรวจสอบ</t>
  </si>
  <si>
    <t xml:space="preserve">ผู้ปฏิบัติงาน</t>
  </si>
  <si>
    <t xml:space="preserve">วันที่เสร็จ</t>
  </si>
  <si>
    <t xml:space="preserve">ผู้สอบทาน</t>
  </si>
  <si>
    <t xml:space="preserve">วันที่สอบทาน</t>
  </si>
  <si>
    <t xml:space="preserve">ขอบเขตการสอบทาน</t>
  </si>
  <si>
    <t xml:space="preserve">A</t>
  </si>
  <si>
    <t xml:space="preserve">เงินสดและรายการเทียบเท่าเงินสด</t>
  </si>
  <si>
    <t xml:space="preserve">ทดสอบความมีอยู่จริง+ยืนยันยอดธนาคาร</t>
  </si>
  <si>
    <t xml:space="preserve">สอบทานทั้งหมด</t>
  </si>
  <si>
    <t xml:space="preserve">B</t>
  </si>
  <si>
    <t xml:space="preserve">ลูกหนี้การค้า</t>
  </si>
  <si>
    <t xml:space="preserve">ทดสอบการมีอยู่จริง+ยืนยันยอด+ประเมินค่าเผื่อฯ</t>
  </si>
  <si>
    <t xml:space="preserve">C</t>
  </si>
  <si>
    <t xml:space="preserve">สินค้าคงเหลือ</t>
  </si>
  <si>
    <t xml:space="preserve">สังเกตการณ์ตรวจนับ+ทดสอบราคาทุน</t>
  </si>
  <si>
    <t xml:space="preserve">D</t>
  </si>
  <si>
    <t xml:space="preserve">ที่ดิน อาคารและอุปกรณ์</t>
  </si>
  <si>
    <t xml:space="preserve">ทดสอบการมีอยู่จริง+ค่าเสื่อมราคา+รายการเพิ่ม/จำหน่าย</t>
  </si>
  <si>
    <t xml:space="preserve">E</t>
  </si>
  <si>
    <t xml:space="preserve">เจ้าหนี้การค้าและเงินกู้ยืม</t>
  </si>
  <si>
    <t xml:space="preserve">ยืนยันยอด+ทดสอบ Cut-off</t>
  </si>
  <si>
    <t xml:space="preserve">F</t>
  </si>
  <si>
    <t xml:space="preserve">รายได้</t>
  </si>
  <si>
    <t xml:space="preserve">ทดสอบ Cut-off+วิเคราะห์เปรียบเทียบ</t>
  </si>
  <si>
    <t xml:space="preserve">หมายเหตุ: ช่องสีเหลือง = ช่องที่ต้องกรอกข้อมูลจริงระหว่างปฏิบัติงาน</t>
  </si>
  <si>
    <t xml:space="preserve">AMT GROUP — เครื่องคำนวณความมีสาระสำคัญ (Materiality Calculator)</t>
  </si>
  <si>
    <t xml:space="preserve">อ้างอิง TSA for LCE ย่อหน้าที่ 5.3 — สูตรคำนวณอัตโนมัติ กรอกเฉพาะช่องสีเหลือง</t>
  </si>
  <si>
    <t xml:space="preserve">ฐานที่ใช้ (Benchmark)</t>
  </si>
  <si>
    <t xml:space="preserve">ยอดจากงบการเงิน (บาท)</t>
  </si>
  <si>
    <t xml:space="preserve">% ที่ใช้</t>
  </si>
  <si>
    <t xml:space="preserve">Overall Materiality (บาท)</t>
  </si>
  <si>
    <t xml:space="preserve">สินทรัพย์รวม</t>
  </si>
  <si>
    <t xml:space="preserve">รายได้รวม</t>
  </si>
  <si>
    <t xml:space="preserve">กำไรก่อนภาษี</t>
  </si>
  <si>
    <t xml:space="preserve">เลือกใช้ (Overall Materiality)</t>
  </si>
  <si>
    <t xml:space="preserve">Performance Materiality (% ของ Overall)</t>
  </si>
  <si>
    <t xml:space="preserve">เกณฑ์การแสดงข้อมูลที่ไม่ต่างสาระสำคัญอย่างชัดเจน (% ของ Overall)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</si>
</sst>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%"/>
    <numFmt numFmtId="167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s">
        <v>12</v>
      </c>
      <c r="D5" s="5"/>
      <c r="E5" s="5"/>
      <c r="F5" s="5"/>
      <c r="G5" s="5"/>
      <c r="H5" s="4" t="s">
        <v>13</v>
      </c>
    </row>
    <row r="6" customFormat="false" ht="15" hidden="false" customHeight="false" outlineLevel="0" collapsed="false">
      <c r="A6" s="4" t="s">
        <v>14</v>
      </c>
      <c r="B6" s="4" t="s">
        <v>15</v>
      </c>
      <c r="C6" s="4" t="s">
        <v>16</v>
      </c>
      <c r="D6" s="4"/>
      <c r="E6" s="4"/>
      <c r="F6" s="4"/>
      <c r="G6" s="4"/>
      <c r="H6" s="4" t="s">
        <v>13</v>
      </c>
    </row>
    <row r="7" customFormat="false" ht="15" hidden="false" customHeight="false" outlineLevel="0" collapsed="false">
      <c r="A7" s="4" t="s">
        <v>17</v>
      </c>
      <c r="B7" s="4" t="s">
        <v>18</v>
      </c>
      <c r="C7" s="4" t="s">
        <v>19</v>
      </c>
      <c r="D7" s="4"/>
      <c r="E7" s="4"/>
      <c r="F7" s="4"/>
      <c r="G7" s="4"/>
      <c r="H7" s="4" t="s">
        <v>13</v>
      </c>
    </row>
    <row r="8" customFormat="false" ht="23.85" hidden="false" customHeight="false" outlineLevel="0" collapsed="false">
      <c r="A8" s="4" t="s">
        <v>20</v>
      </c>
      <c r="B8" s="4" t="s">
        <v>21</v>
      </c>
      <c r="C8" s="4" t="s">
        <v>22</v>
      </c>
      <c r="D8" s="4"/>
      <c r="E8" s="4"/>
      <c r="F8" s="4"/>
      <c r="G8" s="4"/>
      <c r="H8" s="4" t="s">
        <v>13</v>
      </c>
    </row>
    <row r="9" customFormat="false" ht="15" hidden="false" customHeight="false" outlineLevel="0" collapsed="false">
      <c r="A9" s="4" t="s">
        <v>23</v>
      </c>
      <c r="B9" s="4" t="s">
        <v>24</v>
      </c>
      <c r="C9" s="4" t="s">
        <v>25</v>
      </c>
      <c r="D9" s="4"/>
      <c r="E9" s="4"/>
      <c r="F9" s="4"/>
      <c r="G9" s="4"/>
      <c r="H9" s="4" t="s">
        <v>13</v>
      </c>
    </row>
    <row r="10" customFormat="false" ht="15" hidden="false" customHeight="false" outlineLevel="0" collapsed="false">
      <c r="A10" s="4" t="s">
        <v>26</v>
      </c>
      <c r="B10" s="4" t="s">
        <v>27</v>
      </c>
      <c r="C10" s="4" t="s">
        <v>28</v>
      </c>
      <c r="D10" s="4"/>
      <c r="E10" s="4"/>
      <c r="F10" s="4"/>
      <c r="G10" s="4"/>
      <c r="H10" s="4" t="s">
        <v>13</v>
      </c>
    </row>
    <row r="13" customFormat="false" ht="15" hidden="false" customHeight="false" outlineLevel="0" collapsed="false">
      <c r="A13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3" t="s">
        <v>32</v>
      </c>
      <c r="B4" s="3" t="s">
        <v>33</v>
      </c>
      <c r="C4" s="3" t="s">
        <v>34</v>
      </c>
      <c r="D4" s="3" t="s">
        <v>35</v>
      </c>
    </row>
    <row r="5" customFormat="false" ht="15" hidden="false" customHeight="false" outlineLevel="0" collapsed="false">
      <c r="A5" s="6" t="s">
        <v>36</v>
      </c>
      <c r="B5" s="7" t="n">
        <v>0</v>
      </c>
      <c r="C5" s="8" t="n">
        <v>0.02</v>
      </c>
      <c r="D5" s="9" t="n">
        <f aca="false">B5*C5</f>
        <v>0</v>
      </c>
    </row>
    <row r="6" customFormat="false" ht="15" hidden="false" customHeight="false" outlineLevel="0" collapsed="false">
      <c r="A6" s="6" t="s">
        <v>37</v>
      </c>
      <c r="B6" s="7" t="n">
        <v>0</v>
      </c>
      <c r="C6" s="8" t="n">
        <v>0.01</v>
      </c>
      <c r="D6" s="9" t="n">
        <f aca="false">B6*C6</f>
        <v>0</v>
      </c>
    </row>
    <row r="7" customFormat="false" ht="15" hidden="false" customHeight="false" outlineLevel="0" collapsed="false">
      <c r="A7" s="6" t="s">
        <v>38</v>
      </c>
      <c r="B7" s="7" t="n">
        <v>0</v>
      </c>
      <c r="C7" s="8" t="n">
        <v>0.05</v>
      </c>
      <c r="D7" s="9" t="n">
        <f aca="false">B7*C7</f>
        <v>0</v>
      </c>
    </row>
    <row r="9" customFormat="false" ht="15" hidden="false" customHeight="false" outlineLevel="0" collapsed="false">
      <c r="A9" s="10" t="s">
        <v>39</v>
      </c>
      <c r="D9" s="11" t="n">
        <f aca="false">MAX(D5:D7)</f>
        <v>0</v>
      </c>
    </row>
    <row r="11" customFormat="false" ht="15" hidden="false" customHeight="false" outlineLevel="0" collapsed="false">
      <c r="A11" s="10" t="s">
        <v>40</v>
      </c>
      <c r="C11" s="12" t="n">
        <v>0.75</v>
      </c>
      <c r="D11" s="13" t="n">
        <f aca="false">D9*C11</f>
        <v>0</v>
      </c>
    </row>
    <row r="12" customFormat="false" ht="15" hidden="false" customHeight="false" outlineLevel="0" collapsed="false">
      <c r="A12" s="10" t="s">
        <v>41</v>
      </c>
      <c r="C12" s="12" t="n">
        <v>0.05</v>
      </c>
      <c r="D12" s="13" t="n">
        <f aca="false">D9*C12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2026-07-24T04:53:36Z</dcterms:created>
  <dc:creator>openpyxl</dc:creator>
  <dc:description/>
  <dc:language>en-US</dc:language>
  <cp:lastModifiedBy/>
  <dcterms:modified xsi:type="dcterms:W3CDTF">2026-07-24T04:53:36Z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